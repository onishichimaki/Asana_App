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7036e85c4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取込用" sheetId="1" r:id="R894b5b7e4e2941e2"/>
    <x:sheet xmlns:r="http://schemas.openxmlformats.org/officeDocument/2006/relationships" name="取込ガイド" sheetId="2" r:id="Refa56bbca822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color rgb="FF273129"/>
      <x:name val="Meiryo UI"/>
    </x:font>
    <x:font>
      <x:b/>
      <x:sz val="16"/>
      <x:color rgb="FFFFFFFF"/>
      <x:name val="Meiryo UI"/>
    </x:font>
    <x:font>
      <x:sz val="9"/>
      <x:color rgb="FF664B20"/>
      <x:name val="Meiryo UI"/>
    </x:font>
    <x:font>
      <x:b/>
      <x:sz val="10"/>
      <x:color rgb="FFFFFFFF"/>
      <x:name val="Meiryo UI"/>
    </x:font>
    <x:font>
      <x:b/>
      <x:sz val="11"/>
      <x:color rgb="FF29422E"/>
      <x:name val="Meiryo UI"/>
    </x:font>
  </x:fonts>
  <x:fills count="6">
    <x:fill>
      <x:patternFill patternType="none"/>
    </x:fill>
    <x:fill>
      <x:patternFill patternType="gray125"/>
    </x:fill>
    <x:fill>
      <x:patternFill patternType="solid">
        <x:fgColor rgb="FF365A3C"/>
      </x:patternFill>
    </x:fill>
    <x:fill>
      <x:patternFill patternType="solid">
        <x:fgColor rgb="FFFFF4D6"/>
      </x:patternFill>
    </x:fill>
    <x:fill>
      <x:patternFill patternType="solid">
        <x:fgColor rgb="FFD8891C"/>
      </x:patternFill>
    </x:fill>
    <x:fill>
      <x:patternFill patternType="solid">
        <x:fgColor rgb="FFE4EFE6"/>
      </x:patternFill>
    </x:fill>
  </x:fills>
  <x:borders count="8">
    <x:border/>
    <x:border>
      <x:left style="medium">
        <x:color rgb="FFA56112"/>
      </x:left>
      <x:top style="medium">
        <x:color rgb="FFA56112"/>
      </x:top>
      <x:bottom style="medium">
        <x:color rgb="FFA56112"/>
      </x:bottom>
    </x:border>
    <x:border>
      <x:top style="medium">
        <x:color rgb="FFA56112"/>
      </x:top>
      <x:bottom style="medium">
        <x:color rgb="FFA56112"/>
      </x:bottom>
    </x:border>
    <x:border>
      <x:right style="medium">
        <x:color rgb="FFA56112"/>
      </x:right>
      <x:top style="medium">
        <x:color rgb="FFA56112"/>
      </x:top>
      <x:bottom style="medium">
        <x:color rgb="FFA56112"/>
      </x:bottom>
    </x:border>
    <x:border>
      <x:bottom style="thin">
        <x:color rgb="FFE2E8E3"/>
      </x:bottom>
    </x:border>
    <x:border>
      <x:top style="thin">
        <x:color rgb="FFE2E8E3"/>
      </x:top>
      <x:bottom style="thin">
        <x:color rgb="FFE2E8E3"/>
      </x:bottom>
    </x:border>
    <x:border>
      <x:top style="thin">
        <x:color rgb="FFE2E8E3"/>
      </x:top>
      <x:bottom style="thin">
        <x:color rgb="FFCCD6CE"/>
      </x:bottom>
    </x:border>
    <x:border>
      <x:left style="thin">
        <x:color rgb="FFD7DED8"/>
      </x:left>
      <x:right style="thin">
        <x:color rgb="FFD7DED8"/>
      </x:right>
      <x:top style="thin">
        <x:color rgb="FFD7DED8"/>
      </x:top>
      <x:bottom style="thin">
        <x:color rgb="FFD7DED8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horizontal="center" vertical="center" wrapText="1"/>
    </x:xf>
    <x:xf numFmtId="200" fontId="1" fillId="0" borderId="6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/>
    <x:xf numFmtId="0" fontId="1" fillId="0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9422E"/>
      </x:font>
      <x:fill>
        <x:patternFill patternType="solid">
          <x:bgColor rgb="FFE4EFE6"/>
        </x:patternFill>
      </x:fill>
    </x:dxf>
    <x:dxf>
      <x:fill>
        <x:patternFill patternType="solid">
          <x:bgColor rgb="FFFFF9EA"/>
        </x:patternFill>
      </x:fill>
    </x:dxf>
    <x:dxf>
      <x:font>
        <x:b/>
        <x:color rgb="FF1F6B3A"/>
      </x:font>
      <x:fill>
        <x:patternFill patternType="solid">
          <x:bgColor rgb="FFDDF3E4"/>
        </x:patternFill>
      </x:fill>
    </x:dxf>
    <x:dxf>
      <x:font>
        <x:b/>
        <x:color rgb="FF1F6B3A"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bff4998904cff" /><Relationship Type="http://schemas.openxmlformats.org/officeDocument/2006/relationships/theme" Target="/xl/theme/theme1.xml" Id="Rbd0a4415f72e470d" /><Relationship Type="http://schemas.openxmlformats.org/officeDocument/2006/relationships/sharedStrings" Target="/xl/sharedStrings.xml" Id="R86f9511816ce40d4" /><Relationship Type="http://schemas.openxmlformats.org/officeDocument/2006/relationships/worksheet" Target="/xl/worksheets/sheet1.xml" Id="R894b5b7e4e2941e2" /><Relationship Type="http://schemas.openxmlformats.org/officeDocument/2006/relationships/worksheet" Target="/xl/worksheets/sheet2.xml" Id="Refa56bbca8224762" /></Relationships>
</file>

<file path=xl/tables/table1.xml><?xml version="1.0" encoding="utf-8"?>
<x:table xmlns:x="http://schemas.openxmlformats.org/spreadsheetml/2006/main" id="1" name="SchoolLunchCurryWbsTable" displayName="SchoolLunchCurryWbsTable" ref="A4:M34" headerRowCount="1" totalsRowCount="0" totalsRowShown="0">
  <x:autoFilter ref="A4:M34"/>
  <x:tableColumns count="13">
    <x:tableColumn id="1" name="WBS番号"/>
    <x:tableColumn id="2" name="親WBS番号"/>
    <x:tableColumn id="3" name="階層レベル"/>
    <x:tableColumn id="4" name="大項目"/>
    <x:tableColumn id="5" name="中項目"/>
    <x:tableColumn id="6" name="タスク名"/>
    <x:tableColumn id="7" name="説明"/>
    <x:tableColumn id="8" name="担当者"/>
    <x:tableColumn id="9" name="開始日"/>
    <x:tableColumn id="10" name="期限"/>
    <x:tableColumn id="11" name="依存先WBS"/>
    <x:tableColumn id="12" name="ステータス"/>
    <x:tableColumn id="13" name="Asana対象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01583a96bf41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8" hidden="0" customWidth="1"/>
    <x:col min="5" max="5" width="18" hidden="0" customWidth="1"/>
    <x:col min="6" max="6" width="34" hidden="0" customWidth="1"/>
    <x:col min="7" max="7" width="48" hidden="0" customWidth="1"/>
    <x:col min="8" max="8" width="11" hidden="0" customWidth="1"/>
    <x:col min="9" max="9" width="12" hidden="0" customWidth="1"/>
    <x:col min="10" max="10" width="12" hidden="0" customWidth="1"/>
    <x:col min="11" max="11" width="18" hidden="0" customWidth="1"/>
    <x:col min="12" max="12" width="12" hidden="0" customWidth="1"/>
    <x:col min="13" max="13" width="12" hidden="0" customWidth="1"/>
  </x:cols>
  <x:sheetData>
    <x:row r="1" ht="30" customHeight="1">
      <x:c r="A1" s="4" t="str">
        <x:v>給食のスパイスカレーを作ってみようプロジェクト — テストWBS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8" t="str">
        <x:v>Task Captureの可変レイアウト取込テスト用。見出し行は4、データ開始行は5です。日付・担当者・親子関係はすべて仮データです。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2" customHeight="1">
      <x:c r="A4" s="20" t="str">
        <x:v>WBS番号</x:v>
      </x:c>
      <x:c r="B4" s="21" t="str">
        <x:v>親WBS番号</x:v>
      </x:c>
      <x:c r="C4" s="21" t="str">
        <x:v>階層レベル</x:v>
      </x:c>
      <x:c r="D4" s="21" t="str">
        <x:v>大項目</x:v>
      </x:c>
      <x:c r="E4" s="21" t="str">
        <x:v>中項目</x:v>
      </x:c>
      <x:c r="F4" s="21" t="str">
        <x:v>タスク名</x:v>
      </x:c>
      <x:c r="G4" s="21" t="str">
        <x:v>説明</x:v>
      </x:c>
      <x:c r="H4" s="21" t="str">
        <x:v>担当者</x:v>
      </x:c>
      <x:c r="I4" s="21" t="str">
        <x:v>開始日</x:v>
      </x:c>
      <x:c r="J4" s="21" t="str">
        <x:v>期限</x:v>
      </x:c>
      <x:c r="K4" s="21" t="str">
        <x:v>依存先WBS</x:v>
      </x:c>
      <x:c r="L4" s="21" t="str">
        <x:v>ステータス</x:v>
      </x:c>
      <x:c r="M4" s="22" t="str">
        <x:v>Asana対象</x:v>
      </x:c>
    </x:row>
    <x:row r="5" ht="38" customHeight="1">
      <x:c r="A5" s="32" t="str">
        <x:v>P01</x:v>
      </x:c>
      <x:c r="B5" s="32" t="str"/>
      <x:c r="C5" s="32" t="n">
        <x:v>0</x:v>
      </x:c>
      <x:c r="D5" s="29" t="str">
        <x:v>企画・要件</x:v>
      </x:c>
      <x:c r="E5" s="29" t="str"/>
      <x:c r="F5" s="29" t="str">
        <x:v>プロジェクト目的と提供日を定める</x:v>
      </x:c>
      <x:c r="G5" s="29" t="str">
        <x:v>給食として提供するスパイスカレーの目的、対象、完了条件を明確にする。</x:v>
      </x:c>
      <x:c r="H5" s="32" t="str">
        <x:v>大西</x:v>
      </x:c>
      <x:c r="I5" s="35" t="n">
        <x:v>46237</x:v>
      </x:c>
      <x:c r="J5" s="35" t="n">
        <x:v>46240</x:v>
      </x:c>
      <x:c r="K5" s="32" t="str"/>
      <x:c r="L5" s="32" t="str">
        <x:v>未着手</x:v>
      </x:c>
      <x:c r="M5" s="32" t="str">
        <x:v>はい</x:v>
      </x:c>
    </x:row>
    <x:row r="6" ht="38" customHeight="1">
      <x:c r="A6" s="33" t="str">
        <x:v>P01-01</x:v>
      </x:c>
      <x:c r="B6" s="33" t="str">
        <x:v>P01</x:v>
      </x:c>
      <x:c r="C6" s="33" t="n">
        <x:v>1</x:v>
      </x:c>
      <x:c r="D6" s="30" t="str">
        <x:v>企画・要件</x:v>
      </x:c>
      <x:c r="E6" s="30" t="str">
        <x:v>目的</x:v>
      </x:c>
      <x:c r="F6" s="30" t="str">
        <x:v>対象学年と提供食数を確認する</x:v>
      </x:c>
      <x:c r="G6" s="30" t="str">
        <x:v>対象学年、児童・生徒数、教職員数、予備食数を確認する。</x:v>
      </x:c>
      <x:c r="H6" s="33" t="str">
        <x:v>大西</x:v>
      </x:c>
      <x:c r="I6" s="36" t="n">
        <x:v>46237</x:v>
      </x:c>
      <x:c r="J6" s="36" t="n">
        <x:v>46237</x:v>
      </x:c>
      <x:c r="K6" s="33" t="str"/>
      <x:c r="L6" s="33" t="str">
        <x:v>未着手</x:v>
      </x:c>
      <x:c r="M6" s="33" t="str">
        <x:v>はい</x:v>
      </x:c>
    </x:row>
    <x:row r="7" ht="38" customHeight="1">
      <x:c r="A7" s="33" t="str">
        <x:v>P01-02</x:v>
      </x:c>
      <x:c r="B7" s="33" t="str">
        <x:v>P01</x:v>
      </x:c>
      <x:c r="C7" s="33" t="n">
        <x:v>1</x:v>
      </x:c>
      <x:c r="D7" s="30" t="str">
        <x:v>企画・要件</x:v>
      </x:c>
      <x:c r="E7" s="30" t="str">
        <x:v>提供条件</x:v>
      </x:c>
      <x:c r="F7" s="30" t="str">
        <x:v>提供日と調理条件を確認する</x:v>
      </x:c>
      <x:c r="G7" s="30" t="str">
        <x:v>提供日、調理場の設備、釜数、作業時間、配膳時刻を確認する。</x:v>
      </x:c>
      <x:c r="H7" s="33" t="str">
        <x:v>大西</x:v>
      </x:c>
      <x:c r="I7" s="36" t="n">
        <x:v>46237</x:v>
      </x:c>
      <x:c r="J7" s="36" t="n">
        <x:v>46238</x:v>
      </x:c>
      <x:c r="K7" s="33" t="str">
        <x:v>P01-01</x:v>
      </x:c>
      <x:c r="L7" s="33" t="str">
        <x:v>未着手</x:v>
      </x:c>
      <x:c r="M7" s="33" t="str">
        <x:v>はい</x:v>
      </x:c>
    </x:row>
    <x:row r="8" ht="38" customHeight="1">
      <x:c r="A8" s="33" t="str">
        <x:v>P01-03</x:v>
      </x:c>
      <x:c r="B8" s="33" t="str">
        <x:v>P01</x:v>
      </x:c>
      <x:c r="C8" s="33" t="n">
        <x:v>1</x:v>
      </x:c>
      <x:c r="D8" s="30" t="str">
        <x:v>企画・要件</x:v>
      </x:c>
      <x:c r="E8" s="30" t="str">
        <x:v>体制</x:v>
      </x:c>
      <x:c r="F8" s="30" t="str">
        <x:v>役割分担と承認経路を決める</x:v>
      </x:c>
      <x:c r="G8" s="30" t="str">
        <x:v>栄養教諭、調理責任者、購買、衛生確認、配膳担当の役割を決める。</x:v>
      </x:c>
      <x:c r="H8" s="33" t="str">
        <x:v>大西</x:v>
      </x:c>
      <x:c r="I8" s="36" t="n">
        <x:v>46238</x:v>
      </x:c>
      <x:c r="J8" s="36" t="n">
        <x:v>46239</x:v>
      </x:c>
      <x:c r="K8" s="33" t="str">
        <x:v>P01-02</x:v>
      </x:c>
      <x:c r="L8" s="33" t="str">
        <x:v>未着手</x:v>
      </x:c>
      <x:c r="M8" s="33" t="str">
        <x:v>はい</x:v>
      </x:c>
    </x:row>
    <x:row r="9" ht="38" customHeight="1">
      <x:c r="A9" s="33" t="str">
        <x:v>P01-04</x:v>
      </x:c>
      <x:c r="B9" s="33" t="str">
        <x:v>P01</x:v>
      </x:c>
      <x:c r="C9" s="33" t="n">
        <x:v>1</x:v>
      </x:c>
      <x:c r="D9" s="30" t="str">
        <x:v>企画・要件</x:v>
      </x:c>
      <x:c r="E9" s="30" t="str">
        <x:v>計画</x:v>
      </x:c>
      <x:c r="F9" s="30" t="str">
        <x:v>全体スケジュールを確定する</x:v>
      </x:c>
      <x:c r="G9" s="30" t="str">
        <x:v>試作、発注、納品、仕込み、調理、配膳、振り返りの日程を確定する。</x:v>
      </x:c>
      <x:c r="H9" s="33" t="str">
        <x:v>大西</x:v>
      </x:c>
      <x:c r="I9" s="36" t="n">
        <x:v>46239</x:v>
      </x:c>
      <x:c r="J9" s="36" t="n">
        <x:v>46240</x:v>
      </x:c>
      <x:c r="K9" s="33" t="str">
        <x:v>P01-03</x:v>
      </x:c>
      <x:c r="L9" s="33" t="str">
        <x:v>未着手</x:v>
      </x:c>
      <x:c r="M9" s="33" t="str">
        <x:v>はい</x:v>
      </x:c>
    </x:row>
    <x:row r="10" ht="38" customHeight="1">
      <x:c r="A10" s="33" t="str">
        <x:v>P02</x:v>
      </x:c>
      <x:c r="B10" s="33" t="str"/>
      <x:c r="C10" s="33" t="n">
        <x:v>0</x:v>
      </x:c>
      <x:c r="D10" s="30" t="str">
        <x:v>メニュー・衛生設計</x:v>
      </x:c>
      <x:c r="E10" s="30" t="str"/>
      <x:c r="F10" s="30" t="str">
        <x:v>レシピと安全条件を確定する</x:v>
      </x:c>
      <x:c r="G10" s="30" t="str">
        <x:v>給食向けの辛さ、栄養、アレルギー、安全基準を満たすレシピを確定する。</x:v>
      </x:c>
      <x:c r="H10" s="33" t="str">
        <x:v>大西</x:v>
      </x:c>
      <x:c r="I10" s="36" t="n">
        <x:v>46239</x:v>
      </x:c>
      <x:c r="J10" s="36" t="n">
        <x:v>46246</x:v>
      </x:c>
      <x:c r="K10" s="33" t="str">
        <x:v>P01-02</x:v>
      </x:c>
      <x:c r="L10" s="33" t="str">
        <x:v>未着手</x:v>
      </x:c>
      <x:c r="M10" s="33" t="str">
        <x:v>はい</x:v>
      </x:c>
    </x:row>
    <x:row r="11" ht="38" customHeight="1">
      <x:c r="A11" s="33" t="str">
        <x:v>P02-01</x:v>
      </x:c>
      <x:c r="B11" s="33" t="str">
        <x:v>P02</x:v>
      </x:c>
      <x:c r="C11" s="33" t="n">
        <x:v>1</x:v>
      </x:c>
      <x:c r="D11" s="30" t="str">
        <x:v>メニュー・衛生設計</x:v>
      </x:c>
      <x:c r="E11" s="30" t="str">
        <x:v>レシピ</x:v>
      </x:c>
      <x:c r="F11" s="30" t="str">
        <x:v>標準レシピと1食分量を決める</x:v>
      </x:c>
      <x:c r="G11" s="30" t="str">
        <x:v>鶏肉、玉ねぎ、トマト、豆、スパイス等の1食分量と調理手順を作る。</x:v>
      </x:c>
      <x:c r="H11" s="33" t="str">
        <x:v>大西</x:v>
      </x:c>
      <x:c r="I11" s="36" t="n">
        <x:v>46239</x:v>
      </x:c>
      <x:c r="J11" s="36" t="n">
        <x:v>46241</x:v>
      </x:c>
      <x:c r="K11" s="33" t="str">
        <x:v>P01-01</x:v>
      </x:c>
      <x:c r="L11" s="33" t="str">
        <x:v>未着手</x:v>
      </x:c>
      <x:c r="M11" s="33" t="str">
        <x:v>はい</x:v>
      </x:c>
    </x:row>
    <x:row r="12" ht="38" customHeight="1">
      <x:c r="A12" s="33" t="str">
        <x:v>P02-02</x:v>
      </x:c>
      <x:c r="B12" s="33" t="str">
        <x:v>P02</x:v>
      </x:c>
      <x:c r="C12" s="33" t="n">
        <x:v>1</x:v>
      </x:c>
      <x:c r="D12" s="30" t="str">
        <x:v>メニュー・衛生設計</x:v>
      </x:c>
      <x:c r="E12" s="30" t="str">
        <x:v>アレルギー</x:v>
      </x:c>
      <x:c r="F12" s="30" t="str">
        <x:v>アレルギー情報を確認する</x:v>
      </x:c>
      <x:c r="G12" s="30" t="str">
        <x:v>使用食材と調味料の表示を確認し、対象者と除去・代替の要否を整理する。</x:v>
      </x:c>
      <x:c r="H12" s="33" t="str">
        <x:v>大西</x:v>
      </x:c>
      <x:c r="I12" s="36" t="n">
        <x:v>46240</x:v>
      </x:c>
      <x:c r="J12" s="36" t="n">
        <x:v>46241</x:v>
      </x:c>
      <x:c r="K12" s="33" t="str">
        <x:v>P01-02</x:v>
      </x:c>
      <x:c r="L12" s="33" t="str">
        <x:v>未着手</x:v>
      </x:c>
      <x:c r="M12" s="33" t="str">
        <x:v>はい</x:v>
      </x:c>
    </x:row>
    <x:row r="13" ht="38" customHeight="1">
      <x:c r="A13" s="33" t="str">
        <x:v>P02-02-01</x:v>
      </x:c>
      <x:c r="B13" s="33" t="str">
        <x:v>P02-02</x:v>
      </x:c>
      <x:c r="C13" s="33" t="n">
        <x:v>2</x:v>
      </x:c>
      <x:c r="D13" s="30" t="str">
        <x:v>メニュー・衛生設計</x:v>
      </x:c>
      <x:c r="E13" s="30" t="str">
        <x:v>アレルギー</x:v>
      </x:c>
      <x:c r="F13" s="30" t="str">
        <x:v>代替食と誤配防止手順を決める</x:v>
      </x:c>
      <x:c r="G13" s="30" t="str">
        <x:v>代替食の容器、表示、保管、受け渡し、ダブルチェック方法を決める。</x:v>
      </x:c>
      <x:c r="H13" s="33" t="str">
        <x:v>大西</x:v>
      </x:c>
      <x:c r="I13" s="36" t="n">
        <x:v>46241</x:v>
      </x:c>
      <x:c r="J13" s="36" t="n">
        <x:v>46242</x:v>
      </x:c>
      <x:c r="K13" s="33" t="str">
        <x:v>P02-02</x:v>
      </x:c>
      <x:c r="L13" s="33" t="str">
        <x:v>未着手</x:v>
      </x:c>
      <x:c r="M13" s="33" t="str">
        <x:v>はい</x:v>
      </x:c>
    </x:row>
    <x:row r="14" ht="38" customHeight="1">
      <x:c r="A14" s="33" t="str">
        <x:v>P02-03</x:v>
      </x:c>
      <x:c r="B14" s="33" t="str">
        <x:v>P02</x:v>
      </x:c>
      <x:c r="C14" s="33" t="n">
        <x:v>1</x:v>
      </x:c>
      <x:c r="D14" s="30" t="str">
        <x:v>メニュー・衛生設計</x:v>
      </x:c>
      <x:c r="E14" s="30" t="str">
        <x:v>栄養・味</x:v>
      </x:c>
      <x:c r="F14" s="30" t="str">
        <x:v>栄養価・塩分・辛さを調整する</x:v>
      </x:c>
      <x:c r="G14" s="30" t="str">
        <x:v>給食基準を踏まえ、エネルギー、たんぱく質、塩分、辛さを調整する。</x:v>
      </x:c>
      <x:c r="H14" s="33" t="str">
        <x:v>大西</x:v>
      </x:c>
      <x:c r="I14" s="36" t="n">
        <x:v>46241</x:v>
      </x:c>
      <x:c r="J14" s="36" t="n">
        <x:v>46244</x:v>
      </x:c>
      <x:c r="K14" s="33" t="str">
        <x:v>P02-01</x:v>
      </x:c>
      <x:c r="L14" s="33" t="str">
        <x:v>未着手</x:v>
      </x:c>
      <x:c r="M14" s="33" t="str">
        <x:v>はい</x:v>
      </x:c>
    </x:row>
    <x:row r="15" ht="38" customHeight="1">
      <x:c r="A15" s="33" t="str">
        <x:v>P02-04</x:v>
      </x:c>
      <x:c r="B15" s="33" t="str">
        <x:v>P02</x:v>
      </x:c>
      <x:c r="C15" s="33" t="n">
        <x:v>1</x:v>
      </x:c>
      <x:c r="D15" s="30" t="str">
        <x:v>メニュー・衛生設計</x:v>
      </x:c>
      <x:c r="E15" s="30" t="str">
        <x:v>試作</x:v>
      </x:c>
      <x:c r="F15" s="30" t="str">
        <x:v>試作・試食してレシピを承認する</x:v>
      </x:c>
      <x:c r="G15" s="30" t="str">
        <x:v>少量試作を行い、味、粘度、作業性、提供温度を確認して承認を得る。</x:v>
      </x:c>
      <x:c r="H15" s="33" t="str">
        <x:v>大西</x:v>
      </x:c>
      <x:c r="I15" s="36" t="n">
        <x:v>46245</x:v>
      </x:c>
      <x:c r="J15" s="36" t="n">
        <x:v>46246</x:v>
      </x:c>
      <x:c r="K15" s="33" t="str">
        <x:v>P02-02-01, P02-03</x:v>
      </x:c>
      <x:c r="L15" s="33" t="str">
        <x:v>未着手</x:v>
      </x:c>
      <x:c r="M15" s="33" t="str">
        <x:v>はい</x:v>
      </x:c>
    </x:row>
    <x:row r="16" ht="38" customHeight="1">
      <x:c r="A16" s="33" t="str">
        <x:v>P03</x:v>
      </x:c>
      <x:c r="B16" s="33" t="str"/>
      <x:c r="C16" s="33" t="n">
        <x:v>0</x:v>
      </x:c>
      <x:c r="D16" s="30" t="str">
        <x:v>食材調達</x:v>
      </x:c>
      <x:c r="E16" s="30" t="str"/>
      <x:c r="F16" s="30" t="str">
        <x:v>必要食材を確実に調達する</x:v>
      </x:c>
      <x:c r="G16" s="30" t="str">
        <x:v>在庫確認から発注、納品検収、保管までを実施する。</x:v>
      </x:c>
      <x:c r="H16" s="33" t="str">
        <x:v>大西</x:v>
      </x:c>
      <x:c r="I16" s="36" t="n">
        <x:v>46244</x:v>
      </x:c>
      <x:c r="J16" s="36" t="n">
        <x:v>46254</x:v>
      </x:c>
      <x:c r="K16" s="33" t="str">
        <x:v>P02-01</x:v>
      </x:c>
      <x:c r="L16" s="33" t="str">
        <x:v>未着手</x:v>
      </x:c>
      <x:c r="M16" s="33" t="str">
        <x:v>はい</x:v>
      </x:c>
    </x:row>
    <x:row r="17" ht="38" customHeight="1">
      <x:c r="A17" s="33" t="str">
        <x:v>P03-01</x:v>
      </x:c>
      <x:c r="B17" s="33" t="str">
        <x:v>P03</x:v>
      </x:c>
      <x:c r="C17" s="33" t="n">
        <x:v>1</x:v>
      </x:c>
      <x:c r="D17" s="30" t="str">
        <x:v>食材調達</x:v>
      </x:c>
      <x:c r="E17" s="30" t="str">
        <x:v>在庫</x:v>
      </x:c>
      <x:c r="F17" s="30" t="str">
        <x:v>冷蔵庫・冷凍庫・乾物庫の在庫を確認する</x:v>
      </x:c>
      <x:c r="G17" s="30" t="str">
        <x:v>既存在庫の品名、数量、賞味期限、開封状態を確認する。</x:v>
      </x:c>
      <x:c r="H17" s="33" t="str">
        <x:v>大西</x:v>
      </x:c>
      <x:c r="I17" s="36" t="n">
        <x:v>46244</x:v>
      </x:c>
      <x:c r="J17" s="36" t="n">
        <x:v>46244</x:v>
      </x:c>
      <x:c r="K17" s="33" t="str">
        <x:v>P02-01</x:v>
      </x:c>
      <x:c r="L17" s="33" t="str">
        <x:v>未着手</x:v>
      </x:c>
      <x:c r="M17" s="33" t="str">
        <x:v>はい</x:v>
      </x:c>
    </x:row>
    <x:row r="18" ht="38" customHeight="1">
      <x:c r="A18" s="33" t="str">
        <x:v>P03-02</x:v>
      </x:c>
      <x:c r="B18" s="33" t="str">
        <x:v>P03</x:v>
      </x:c>
      <x:c r="C18" s="33" t="n">
        <x:v>1</x:v>
      </x:c>
      <x:c r="D18" s="30" t="str">
        <x:v>食材調達</x:v>
      </x:c>
      <x:c r="E18" s="30" t="str">
        <x:v>数量</x:v>
      </x:c>
      <x:c r="F18" s="30" t="str">
        <x:v>必要数量と発注数量を計算する</x:v>
      </x:c>
      <x:c r="G18" s="30" t="str">
        <x:v>標準レシピ、提供食数、歩留まり、予備率から必要数量を計算する。</x:v>
      </x:c>
      <x:c r="H18" s="33" t="str">
        <x:v>大西</x:v>
      </x:c>
      <x:c r="I18" s="36" t="n">
        <x:v>46245</x:v>
      </x:c>
      <x:c r="J18" s="36" t="n">
        <x:v>46246</x:v>
      </x:c>
      <x:c r="K18" s="33" t="str">
        <x:v>P03-01, P02-04</x:v>
      </x:c>
      <x:c r="L18" s="33" t="str">
        <x:v>未着手</x:v>
      </x:c>
      <x:c r="M18" s="33" t="str">
        <x:v>はい</x:v>
      </x:c>
    </x:row>
    <x:row r="19" ht="38" customHeight="1">
      <x:c r="A19" s="33" t="str">
        <x:v>P03-03</x:v>
      </x:c>
      <x:c r="B19" s="33" t="str">
        <x:v>P03</x:v>
      </x:c>
      <x:c r="C19" s="33" t="n">
        <x:v>1</x:v>
      </x:c>
      <x:c r="D19" s="30" t="str">
        <x:v>食材調達</x:v>
      </x:c>
      <x:c r="E19" s="30" t="str">
        <x:v>仕入先</x:v>
      </x:c>
      <x:c r="F19" s="30" t="str">
        <x:v>仕入先と商品規格を確認する</x:v>
      </x:c>
      <x:c r="G19" s="30" t="str">
        <x:v>価格、容量、原産地、アレルゲン表示、納品条件を比較して商品を選ぶ。</x:v>
      </x:c>
      <x:c r="H19" s="33" t="str">
        <x:v>大西</x:v>
      </x:c>
      <x:c r="I19" s="36" t="n">
        <x:v>46246</x:v>
      </x:c>
      <x:c r="J19" s="36" t="n">
        <x:v>46247</x:v>
      </x:c>
      <x:c r="K19" s="33" t="str">
        <x:v>P03-02</x:v>
      </x:c>
      <x:c r="L19" s="33" t="str">
        <x:v>未着手</x:v>
      </x:c>
      <x:c r="M19" s="33" t="str">
        <x:v>はい</x:v>
      </x:c>
    </x:row>
    <x:row r="20" ht="38" customHeight="1">
      <x:c r="A20" s="33" t="str">
        <x:v>P03-04</x:v>
      </x:c>
      <x:c r="B20" s="33" t="str">
        <x:v>P03</x:v>
      </x:c>
      <x:c r="C20" s="33" t="n">
        <x:v>1</x:v>
      </x:c>
      <x:c r="D20" s="30" t="str">
        <x:v>食材調達</x:v>
      </x:c>
      <x:c r="E20" s="30" t="str">
        <x:v>発注</x:v>
      </x:c>
      <x:c r="F20" s="30" t="str">
        <x:v>食材とスパイスを発注する</x:v>
      </x:c>
      <x:c r="G20" s="30" t="str">
        <x:v>必要数量、納品日、納品場所、温度帯を指定して発注する。</x:v>
      </x:c>
      <x:c r="H20" s="33" t="str">
        <x:v>大西</x:v>
      </x:c>
      <x:c r="I20" s="36" t="n">
        <x:v>46247</x:v>
      </x:c>
      <x:c r="J20" s="36" t="n">
        <x:v>46248</x:v>
      </x:c>
      <x:c r="K20" s="33" t="str">
        <x:v>P03-03</x:v>
      </x:c>
      <x:c r="L20" s="33" t="str">
        <x:v>未着手</x:v>
      </x:c>
      <x:c r="M20" s="33" t="str">
        <x:v>はい</x:v>
      </x:c>
    </x:row>
    <x:row r="21" ht="38" customHeight="1">
      <x:c r="A21" s="33" t="str">
        <x:v>P03-05</x:v>
      </x:c>
      <x:c r="B21" s="33" t="str">
        <x:v>P03</x:v>
      </x:c>
      <x:c r="C21" s="33" t="n">
        <x:v>1</x:v>
      </x:c>
      <x:c r="D21" s="30" t="str">
        <x:v>食材調達</x:v>
      </x:c>
      <x:c r="E21" s="30" t="str">
        <x:v>検収・保管</x:v>
      </x:c>
      <x:c r="F21" s="30" t="str">
        <x:v>納品検収と適切な保管を行う</x:v>
      </x:c>
      <x:c r="G21" s="30" t="str">
        <x:v>数量、品質、期限、品温、包装状態を確認し、温度帯別に保管する。</x:v>
      </x:c>
      <x:c r="H21" s="33" t="str">
        <x:v>大西</x:v>
      </x:c>
      <x:c r="I21" s="36" t="n">
        <x:v>46254</x:v>
      </x:c>
      <x:c r="J21" s="36" t="n">
        <x:v>46254</x:v>
      </x:c>
      <x:c r="K21" s="33" t="str">
        <x:v>P03-04</x:v>
      </x:c>
      <x:c r="L21" s="33" t="str">
        <x:v>未着手</x:v>
      </x:c>
      <x:c r="M21" s="33" t="str">
        <x:v>はい</x:v>
      </x:c>
    </x:row>
    <x:row r="22" ht="38" customHeight="1">
      <x:c r="A22" s="33" t="str">
        <x:v>P04</x:v>
      </x:c>
      <x:c r="B22" s="33" t="str"/>
      <x:c r="C22" s="33" t="n">
        <x:v>0</x:v>
      </x:c>
      <x:c r="D22" s="30" t="str">
        <x:v>前日・当日仕込み</x:v>
      </x:c>
      <x:c r="E22" s="30" t="str"/>
      <x:c r="F22" s="30" t="str">
        <x:v>安全に調理できる状態へ準備する</x:v>
      </x:c>
      <x:c r="G22" s="30" t="str">
        <x:v>設備、器具、食材、スパイス、米の準備を完了させる。</x:v>
      </x:c>
      <x:c r="H22" s="33" t="str">
        <x:v>大西</x:v>
      </x:c>
      <x:c r="I22" s="36" t="n">
        <x:v>46260</x:v>
      </x:c>
      <x:c r="J22" s="36" t="n">
        <x:v>46261</x:v>
      </x:c>
      <x:c r="K22" s="33" t="str">
        <x:v>P03-05</x:v>
      </x:c>
      <x:c r="L22" s="33" t="str">
        <x:v>未着手</x:v>
      </x:c>
      <x:c r="M22" s="33" t="str">
        <x:v>はい</x:v>
      </x:c>
    </x:row>
    <x:row r="23" ht="38" customHeight="1">
      <x:c r="A23" s="33" t="str">
        <x:v>P04-01</x:v>
      </x:c>
      <x:c r="B23" s="33" t="str">
        <x:v>P04</x:v>
      </x:c>
      <x:c r="C23" s="33" t="n">
        <x:v>1</x:v>
      </x:c>
      <x:c r="D23" s="30" t="str">
        <x:v>前日・当日仕込み</x:v>
      </x:c>
      <x:c r="E23" s="30" t="str">
        <x:v>衛生準備</x:v>
      </x:c>
      <x:c r="F23" s="30" t="str">
        <x:v>調理場・器具・作業動線を衛生確認する</x:v>
      </x:c>
      <x:c r="G23" s="30" t="str">
        <x:v>手洗い設備、器具、釜、作業台、温度計、交差汚染防止動線を確認する。</x:v>
      </x:c>
      <x:c r="H23" s="33" t="str">
        <x:v>大西</x:v>
      </x:c>
      <x:c r="I23" s="36" t="n">
        <x:v>46260</x:v>
      </x:c>
      <x:c r="J23" s="36" t="n">
        <x:v>46260</x:v>
      </x:c>
      <x:c r="K23" s="33" t="str">
        <x:v>P03-05</x:v>
      </x:c>
      <x:c r="L23" s="33" t="str">
        <x:v>未着手</x:v>
      </x:c>
      <x:c r="M23" s="33" t="str">
        <x:v>はい</x:v>
      </x:c>
    </x:row>
    <x:row r="24" ht="38" customHeight="1">
      <x:c r="A24" s="33" t="str">
        <x:v>P04-02</x:v>
      </x:c>
      <x:c r="B24" s="33" t="str">
        <x:v>P04</x:v>
      </x:c>
      <x:c r="C24" s="33" t="n">
        <x:v>1</x:v>
      </x:c>
      <x:c r="D24" s="30" t="str">
        <x:v>前日・当日仕込み</x:v>
      </x:c>
      <x:c r="E24" s="30" t="str">
        <x:v>食材準備</x:v>
      </x:c>
      <x:c r="F24" s="30" t="str">
        <x:v>野菜と肉を洗浄・下処理・切裁する</x:v>
      </x:c>
      <x:c r="G24" s="30" t="str">
        <x:v>玉ねぎ、にんじん、トマト、鶏肉等を工程表どおりに下処理する。</x:v>
      </x:c>
      <x:c r="H24" s="33" t="str">
        <x:v>大西</x:v>
      </x:c>
      <x:c r="I24" s="36" t="n">
        <x:v>46261</x:v>
      </x:c>
      <x:c r="J24" s="36" t="n">
        <x:v>46261</x:v>
      </x:c>
      <x:c r="K24" s="33" t="str">
        <x:v>P04-01</x:v>
      </x:c>
      <x:c r="L24" s="33" t="str">
        <x:v>未着手</x:v>
      </x:c>
      <x:c r="M24" s="33" t="str">
        <x:v>はい</x:v>
      </x:c>
    </x:row>
    <x:row r="25" ht="38" customHeight="1">
      <x:c r="A25" s="33" t="str">
        <x:v>P04-03</x:v>
      </x:c>
      <x:c r="B25" s="33" t="str">
        <x:v>P04</x:v>
      </x:c>
      <x:c r="C25" s="33" t="n">
        <x:v>1</x:v>
      </x:c>
      <x:c r="D25" s="30" t="str">
        <x:v>前日・当日仕込み</x:v>
      </x:c>
      <x:c r="E25" s="30" t="str">
        <x:v>スパイス</x:v>
      </x:c>
      <x:c r="F25" s="30" t="str">
        <x:v>スパイスを計量して配合する</x:v>
      </x:c>
      <x:c r="G25" s="30" t="str">
        <x:v>辛味を抑えた配合で計量し、釜ごとの使用量に分けて表示する。</x:v>
      </x:c>
      <x:c r="H25" s="33" t="str">
        <x:v>大西</x:v>
      </x:c>
      <x:c r="I25" s="36" t="n">
        <x:v>46261</x:v>
      </x:c>
      <x:c r="J25" s="36" t="n">
        <x:v>46261</x:v>
      </x:c>
      <x:c r="K25" s="33" t="str">
        <x:v>P02-04, P04-01</x:v>
      </x:c>
      <x:c r="L25" s="33" t="str">
        <x:v>未着手</x:v>
      </x:c>
      <x:c r="M25" s="33" t="str">
        <x:v>はい</x:v>
      </x:c>
    </x:row>
    <x:row r="26" ht="38" customHeight="1">
      <x:c r="A26" s="33" t="str">
        <x:v>P04-04</x:v>
      </x:c>
      <x:c r="B26" s="33" t="str">
        <x:v>P04</x:v>
      </x:c>
      <x:c r="C26" s="33" t="n">
        <x:v>1</x:v>
      </x:c>
      <x:c r="D26" s="30" t="str">
        <x:v>前日・当日仕込み</x:v>
      </x:c>
      <x:c r="E26" s="30" t="str">
        <x:v>炊飯</x:v>
      </x:c>
      <x:c r="F26" s="30" t="str">
        <x:v>米の計量・洗米・浸漬を行う</x:v>
      </x:c>
      <x:c r="G26" s="30" t="str">
        <x:v>提供食数に合わせて米と水を計量し、炊飯時刻から逆算して準備する。</x:v>
      </x:c>
      <x:c r="H26" s="33" t="str">
        <x:v>大西</x:v>
      </x:c>
      <x:c r="I26" s="36" t="n">
        <x:v>46261</x:v>
      </x:c>
      <x:c r="J26" s="36" t="n">
        <x:v>46261</x:v>
      </x:c>
      <x:c r="K26" s="33" t="str">
        <x:v>P04-01</x:v>
      </x:c>
      <x:c r="L26" s="33" t="str">
        <x:v>未着手</x:v>
      </x:c>
      <x:c r="M26" s="33" t="str">
        <x:v>はい</x:v>
      </x:c>
    </x:row>
    <x:row r="27" ht="38" customHeight="1">
      <x:c r="A27" s="33" t="str">
        <x:v>P05</x:v>
      </x:c>
      <x:c r="B27" s="33" t="str"/>
      <x:c r="C27" s="33" t="n">
        <x:v>0</x:v>
      </x:c>
      <x:c r="D27" s="30" t="str">
        <x:v>調理・配膳</x:v>
      </x:c>
      <x:c r="E27" s="30" t="str"/>
      <x:c r="F27" s="30" t="str">
        <x:v>スパイスカレーを調理して提供する</x:v>
      </x:c>
      <x:c r="G27" s="30" t="str">
        <x:v>工程表と衛生基準に従い、カレーとご飯を時間どおり提供する。</x:v>
      </x:c>
      <x:c r="H27" s="33" t="str">
        <x:v>大西</x:v>
      </x:c>
      <x:c r="I27" s="36" t="n">
        <x:v>46262</x:v>
      </x:c>
      <x:c r="J27" s="36" t="n">
        <x:v>46262</x:v>
      </x:c>
      <x:c r="K27" s="33" t="str">
        <x:v>P04</x:v>
      </x:c>
      <x:c r="L27" s="33" t="str">
        <x:v>未着手</x:v>
      </x:c>
      <x:c r="M27" s="33" t="str">
        <x:v>はい</x:v>
      </x:c>
    </x:row>
    <x:row r="28" ht="38" customHeight="1">
      <x:c r="A28" s="33" t="str">
        <x:v>P05-01</x:v>
      </x:c>
      <x:c r="B28" s="33" t="str">
        <x:v>P05</x:v>
      </x:c>
      <x:c r="C28" s="33" t="n">
        <x:v>1</x:v>
      </x:c>
      <x:c r="D28" s="30" t="str">
        <x:v>調理・配膳</x:v>
      </x:c>
      <x:c r="E28" s="30" t="str">
        <x:v>香味ベース</x:v>
      </x:c>
      <x:c r="F28" s="30" t="str">
        <x:v>玉ねぎとスパイスの香味ベースを作る</x:v>
      </x:c>
      <x:c r="G28" s="30" t="str">
        <x:v>玉ねぎを炒め、スパイスを焦がさないように加えて香りを引き出す。</x:v>
      </x:c>
      <x:c r="H28" s="33" t="str">
        <x:v>大西</x:v>
      </x:c>
      <x:c r="I28" s="36" t="n">
        <x:v>46262</x:v>
      </x:c>
      <x:c r="J28" s="36" t="n">
        <x:v>46262</x:v>
      </x:c>
      <x:c r="K28" s="33" t="str">
        <x:v>P04-02, P04-03</x:v>
      </x:c>
      <x:c r="L28" s="33" t="str">
        <x:v>未着手</x:v>
      </x:c>
      <x:c r="M28" s="33" t="str">
        <x:v>はい</x:v>
      </x:c>
    </x:row>
    <x:row r="29" ht="38" customHeight="1">
      <x:c r="A29" s="33" t="str">
        <x:v>P05-02</x:v>
      </x:c>
      <x:c r="B29" s="33" t="str">
        <x:v>P05</x:v>
      </x:c>
      <x:c r="C29" s="33" t="n">
        <x:v>1</x:v>
      </x:c>
      <x:c r="D29" s="30" t="str">
        <x:v>調理・配膳</x:v>
      </x:c>
      <x:c r="E29" s="30" t="str">
        <x:v>カレー調理</x:v>
      </x:c>
      <x:c r="F29" s="30" t="str">
        <x:v>釜ごとにカレーを煮込む</x:v>
      </x:c>
      <x:c r="G29" s="30" t="str">
        <x:v>肉、野菜、トマト、豆等を投入し、工程表に従って加熱・撹拌する。</x:v>
      </x:c>
      <x:c r="H29" s="33" t="str">
        <x:v>大西</x:v>
      </x:c>
      <x:c r="I29" s="36" t="n">
        <x:v>46262</x:v>
      </x:c>
      <x:c r="J29" s="36" t="n">
        <x:v>46262</x:v>
      </x:c>
      <x:c r="K29" s="33" t="str">
        <x:v>P05-01</x:v>
      </x:c>
      <x:c r="L29" s="33" t="str">
        <x:v>未着手</x:v>
      </x:c>
      <x:c r="M29" s="33" t="str">
        <x:v>はい</x:v>
      </x:c>
    </x:row>
    <x:row r="30" ht="38" customHeight="1">
      <x:c r="A30" s="33" t="str">
        <x:v>P05-03</x:v>
      </x:c>
      <x:c r="B30" s="33" t="str">
        <x:v>P05</x:v>
      </x:c>
      <x:c r="C30" s="33" t="n">
        <x:v>1</x:v>
      </x:c>
      <x:c r="D30" s="30" t="str">
        <x:v>調理・配膳</x:v>
      </x:c>
      <x:c r="E30" s="30" t="str">
        <x:v>炊飯</x:v>
      </x:c>
      <x:c r="F30" s="30" t="str">
        <x:v>提供時刻に合わせてご飯を炊く</x:v>
      </x:c>
      <x:c r="G30" s="30" t="str">
        <x:v>炊飯量、吸水、蒸らし時間を確認し、配膳開始に合わせて炊き上げる。</x:v>
      </x:c>
      <x:c r="H30" s="33" t="str">
        <x:v>大西</x:v>
      </x:c>
      <x:c r="I30" s="36" t="n">
        <x:v>46262</x:v>
      </x:c>
      <x:c r="J30" s="36" t="n">
        <x:v>46262</x:v>
      </x:c>
      <x:c r="K30" s="33" t="str">
        <x:v>P04-04</x:v>
      </x:c>
      <x:c r="L30" s="33" t="str">
        <x:v>未着手</x:v>
      </x:c>
      <x:c r="M30" s="33" t="str">
        <x:v>はい</x:v>
      </x:c>
    </x:row>
    <x:row r="31" ht="38" customHeight="1">
      <x:c r="A31" s="33" t="str">
        <x:v>P05-04</x:v>
      </x:c>
      <x:c r="B31" s="33" t="str">
        <x:v>P05</x:v>
      </x:c>
      <x:c r="C31" s="33" t="n">
        <x:v>1</x:v>
      </x:c>
      <x:c r="D31" s="30" t="str">
        <x:v>調理・配膳</x:v>
      </x:c>
      <x:c r="E31" s="30" t="str">
        <x:v>品質確認</x:v>
      </x:c>
      <x:c r="F31" s="30" t="str">
        <x:v>中心温度・味・粘度を確認して記録する</x:v>
      </x:c>
      <x:c r="G31" s="30" t="str">
        <x:v>中心温度と保持時間を測定し、味、辛さ、粘度を確認して記録する。</x:v>
      </x:c>
      <x:c r="H31" s="33" t="str">
        <x:v>大西</x:v>
      </x:c>
      <x:c r="I31" s="36" t="n">
        <x:v>46262</x:v>
      </x:c>
      <x:c r="J31" s="36" t="n">
        <x:v>46262</x:v>
      </x:c>
      <x:c r="K31" s="33" t="str">
        <x:v>P05-02</x:v>
      </x:c>
      <x:c r="L31" s="33" t="str">
        <x:v>未着手</x:v>
      </x:c>
      <x:c r="M31" s="33" t="str">
        <x:v>はい</x:v>
      </x:c>
    </x:row>
    <x:row r="32" ht="38" customHeight="1">
      <x:c r="A32" s="33" t="str">
        <x:v>P05-05</x:v>
      </x:c>
      <x:c r="B32" s="33" t="str">
        <x:v>P05</x:v>
      </x:c>
      <x:c r="C32" s="33" t="n">
        <x:v>1</x:v>
      </x:c>
      <x:c r="D32" s="30" t="str">
        <x:v>調理・配膳</x:v>
      </x:c>
      <x:c r="E32" s="30" t="str">
        <x:v>配膳</x:v>
      </x:c>
      <x:c r="F32" s="30" t="str">
        <x:v>食数とアレルギー対応を確認して配膳する</x:v>
      </x:c>
      <x:c r="G32" s="30" t="str">
        <x:v>クラス別食数、代替食表示、受け渡しをダブルチェックして提供する。</x:v>
      </x:c>
      <x:c r="H32" s="33" t="str">
        <x:v>大西</x:v>
      </x:c>
      <x:c r="I32" s="36" t="n">
        <x:v>46262</x:v>
      </x:c>
      <x:c r="J32" s="36" t="n">
        <x:v>46262</x:v>
      </x:c>
      <x:c r="K32" s="33" t="str">
        <x:v>P05-03, P05-04</x:v>
      </x:c>
      <x:c r="L32" s="33" t="str">
        <x:v>未着手</x:v>
      </x:c>
      <x:c r="M32" s="33" t="str">
        <x:v>はい</x:v>
      </x:c>
    </x:row>
    <x:row r="33" ht="38" customHeight="1">
      <x:c r="A33" s="33" t="str">
        <x:v>P06</x:v>
      </x:c>
      <x:c r="B33" s="33" t="str"/>
      <x:c r="C33" s="33" t="n">
        <x:v>0</x:v>
      </x:c>
      <x:c r="D33" s="30" t="str">
        <x:v>片付け・振り返り</x:v>
      </x:c>
      <x:c r="E33" s="30" t="str"/>
      <x:c r="F33" s="30" t="str">
        <x:v>実績を記録して次回へ改善をつなぐ</x:v>
      </x:c>
      <x:c r="G33" s="30" t="str">
        <x:v>残食、衛生記録、作業実績、児童・生徒の反応を整理する。</x:v>
      </x:c>
      <x:c r="H33" s="33" t="str">
        <x:v>大西</x:v>
      </x:c>
      <x:c r="I33" s="36" t="n">
        <x:v>46262</x:v>
      </x:c>
      <x:c r="J33" s="36" t="n">
        <x:v>46265</x:v>
      </x:c>
      <x:c r="K33" s="33" t="str">
        <x:v>P05-05</x:v>
      </x:c>
      <x:c r="L33" s="33" t="str">
        <x:v>未着手</x:v>
      </x:c>
      <x:c r="M33" s="33" t="str">
        <x:v>はい</x:v>
      </x:c>
    </x:row>
    <x:row r="34" ht="38" customHeight="1">
      <x:c r="A34" s="34" t="str">
        <x:v>P06-01</x:v>
      </x:c>
      <x:c r="B34" s="34" t="str">
        <x:v>P06</x:v>
      </x:c>
      <x:c r="C34" s="34" t="n">
        <x:v>1</x:v>
      </x:c>
      <x:c r="D34" s="31" t="str">
        <x:v>片付け・振り返り</x:v>
      </x:c>
      <x:c r="E34" s="31" t="str">
        <x:v>評価</x:v>
      </x:c>
      <x:c r="F34" s="31" t="str">
        <x:v>残食・作業実績・反応を記録して振り返る</x:v>
      </x:c>
      <x:c r="G34" s="31" t="str">
        <x:v>残食量、提供数、作業時間、ヒヤリハット、感想、改善点を記録する。</x:v>
      </x:c>
      <x:c r="H34" s="34" t="str">
        <x:v>大西</x:v>
      </x:c>
      <x:c r="I34" s="37" t="n">
        <x:v>46262</x:v>
      </x:c>
      <x:c r="J34" s="37" t="n">
        <x:v>46265</x:v>
      </x:c>
      <x:c r="K34" s="34" t="str">
        <x:v>P05-05</x:v>
      </x:c>
      <x:c r="L34" s="34" t="str">
        <x:v>未着手</x:v>
      </x:c>
      <x:c r="M34" s="34" t="str">
        <x:v>はい</x:v>
      </x:c>
    </x:row>
  </x:sheetData>
  <x:mergeCells>
    <x:mergeCell ref="A1:M1"/>
    <x:mergeCell ref="A2:M2"/>
  </x:mergeCells>
  <x:conditionalFormatting sqref="A5:M34">
    <x:cfRule type="expression" dxfId="0" priority="1">
      <x:formula>$C5=0</x:formula>
    </x:cfRule>
    <x:cfRule type="expression" dxfId="1" priority="2">
      <x:formula>$C5=2</x:formula>
    </x:cfRule>
  </x:conditionalFormatting>
  <x:conditionalFormatting sqref="L5:L34">
    <x:cfRule type="containsText" dxfId="2" priority="3" operator="containsText" text="完了"/>
  </x:conditionalFormatting>
  <x:dataValidations count="2">
    <x:dataValidation type="list" sqref="L5:L34">
      <x:formula1>"未着手,進行中,完了,保留"</x:formula1>
    </x:dataValidation>
    <x:dataValidation type="list" sqref="M5:M34">
      <x:formula1>"はい,いいえ"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01583a96bf41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52" hidden="0" customWidth="1"/>
    <x:col min="4" max="4" width="14" hidden="0" customWidth="1"/>
  </x:cols>
  <x:sheetData>
    <x:row r="1" ht="30" customHeight="1">
      <x:c r="A1" s="4" t="str">
        <x:v>Task Capture WBS取込ガイド</x:v>
      </x:c>
      <x:c r="B1" s="4"/>
      <x:c r="C1" s="4"/>
      <x:c r="D1" s="4"/>
    </x:row>
    <x:row r="3">
      <x:c r="A3" s="40" t="str">
        <x:v>確認項目</x:v>
      </x:c>
      <x:c r="B3" s="40" t="str">
        <x:v>実績</x:v>
      </x:c>
      <x:c r="C3" s="40" t="str">
        <x:v>期待値</x:v>
      </x:c>
      <x:c r="D3" s="40" t="str">
        <x:v>判定</x:v>
      </x:c>
    </x:row>
    <x:row r="4">
      <x:c r="A4" s="41" t="str">
        <x:v>データ行数</x:v>
      </x:c>
      <x:c r="B4" s="42" t="n">
        <x:f>COUNTA('WBS取込用'!$A$5:$A$34)</x:f>
        <x:v>30</x:v>
      </x:c>
      <x:c r="C4" s="42" t="n">
        <x:v>30</x:v>
      </x:c>
      <x:c r="D4" s="42" t="str">
        <x:f>IF(B4=C4,"OK","要確認")</x:f>
        <x:v>OK</x:v>
      </x:c>
    </x:row>
    <x:row r="5">
      <x:c r="A5" s="41" t="str">
        <x:v>親タスク（レベル0）</x:v>
      </x:c>
      <x:c r="B5" s="42" t="n">
        <x:f>COUNTIF('WBS取込用'!$C$5:$C$34,0)</x:f>
        <x:v>6</x:v>
      </x:c>
      <x:c r="C5" s="42" t="n">
        <x:v>6</x:v>
      </x:c>
      <x:c r="D5" s="42" t="str">
        <x:f>IF(B5=C5,"OK","要確認")</x:f>
        <x:v>OK</x:v>
      </x:c>
    </x:row>
    <x:row r="6">
      <x:c r="A6" s="41" t="str">
        <x:v>子タスク（レベル1）</x:v>
      </x:c>
      <x:c r="B6" s="42" t="n">
        <x:f>COUNTIF('WBS取込用'!$C$5:$C$34,1)</x:f>
        <x:v>23</x:v>
      </x:c>
      <x:c r="C6" s="42" t="n">
        <x:v>23</x:v>
      </x:c>
      <x:c r="D6" s="42" t="str">
        <x:f>IF(B6=C6,"OK","要確認")</x:f>
        <x:v>OK</x:v>
      </x:c>
    </x:row>
    <x:row r="7">
      <x:c r="A7" s="41" t="str">
        <x:v>孫タスク（レベル2）</x:v>
      </x:c>
      <x:c r="B7" s="42" t="n">
        <x:f>COUNTIF('WBS取込用'!$C$5:$C$34,2)</x:f>
        <x:v>1</x:v>
      </x:c>
      <x:c r="C7" s="42" t="n">
        <x:v>1</x:v>
      </x:c>
      <x:c r="D7" s="42" t="str">
        <x:f>IF(B7=C7,"OK","要確認")</x:f>
        <x:v>OK</x:v>
      </x:c>
    </x:row>
    <x:row r="8">
      <x:c r="A8" s="41" t="str">
        <x:v>Asana対象</x:v>
      </x:c>
      <x:c r="B8" s="42" t="n">
        <x:f>COUNTIF('WBS取込用'!$M$5:$M$34,"はい")</x:f>
        <x:v>30</x:v>
      </x:c>
      <x:c r="C8" s="42" t="n">
        <x:v>30</x:v>
      </x:c>
      <x:c r="D8" s="42" t="str">
        <x:f>IF(B8=C8,"OK","要確認")</x:f>
        <x:v>OK</x:v>
      </x:c>
    </x:row>
    <x:row r="10">
      <x:c r="A10" s="40" t="str">
        <x:v>元の列</x:v>
      </x:c>
      <x:c r="B10" s="40" t="str">
        <x:v>割り当てるAsana項目</x:v>
      </x:c>
      <x:c r="C10" s="40" t="str">
        <x:v>用途</x:v>
      </x:c>
    </x:row>
    <x:row r="11" ht="34" customHeight="1">
      <x:c r="A11" s="29" t="str">
        <x:v>WBS番号</x:v>
      </x:c>
      <x:c r="B11" s="29" t="str">
        <x:v>識別キー</x:v>
      </x:c>
      <x:c r="C11" s="29" t="str">
        <x:v>親キー方式で各行を一意に識別</x:v>
      </x:c>
    </x:row>
    <x:row r="12" ht="34" customHeight="1">
      <x:c r="A12" s="30" t="str">
        <x:v>親WBS番号</x:v>
      </x:c>
      <x:c r="B12" s="30" t="str">
        <x:v>親キー</x:v>
      </x:c>
      <x:c r="C12" s="30" t="str">
        <x:v>親キー方式で親子関係を作成</x:v>
      </x:c>
    </x:row>
    <x:row r="13" ht="34" customHeight="1">
      <x:c r="A13" s="30" t="str">
        <x:v>階層レベル</x:v>
      </x:c>
      <x:c r="B13" s="30" t="str">
        <x:v>階層レベル</x:v>
      </x:c>
      <x:c r="C13" s="30" t="str">
        <x:v>レベル方式を試す場合に使用</x:v>
      </x:c>
    </x:row>
    <x:row r="14" ht="34" customHeight="1">
      <x:c r="A14" s="30" t="str">
        <x:v>タスク名</x:v>
      </x:c>
      <x:c r="B14" s="30" t="str">
        <x:v>タイトル</x:v>
      </x:c>
      <x:c r="C14" s="30" t="str">
        <x:v>Asanaのタスクタイトル</x:v>
      </x:c>
    </x:row>
    <x:row r="15" ht="34" customHeight="1">
      <x:c r="A15" s="30" t="str">
        <x:v>説明</x:v>
      </x:c>
      <x:c r="B15" s="30" t="str">
        <x:v>説明</x:v>
      </x:c>
      <x:c r="C15" s="30" t="str">
        <x:v>Asanaのタスク説明</x:v>
      </x:c>
    </x:row>
    <x:row r="16" ht="34" customHeight="1">
      <x:c r="A16" s="30" t="str">
        <x:v>担当者</x:v>
      </x:c>
      <x:c r="B16" s="30" t="str">
        <x:v>担当者</x:v>
      </x:c>
      <x:c r="C16" s="30" t="str">
        <x:v>テスト用に「大西」を設定</x:v>
      </x:c>
    </x:row>
    <x:row r="17" ht="34" customHeight="1">
      <x:c r="A17" s="30" t="str">
        <x:v>期限</x:v>
      </x:c>
      <x:c r="B17" s="30" t="str">
        <x:v>期限</x:v>
      </x:c>
      <x:c r="C17" s="30" t="str">
        <x:v>Asanaの期限</x:v>
      </x:c>
    </x:row>
    <x:row r="18" ht="34" customHeight="1">
      <x:c r="A18" s="31" t="str">
        <x:v>その他の列</x:v>
      </x:c>
      <x:c r="B18" s="31" t="str">
        <x:v>使用しない</x:v>
      </x:c>
      <x:c r="C18" s="31" t="str">
        <x:v>開始日・依存先・状態は今回のMVPでは参考情報</x:v>
      </x:c>
    </x:row>
    <x:row r="20">
      <x:c r="A20" s="44" t="str">
        <x:v>取込手順</x:v>
      </x:c>
      <x:c r="B20" s="44"/>
      <x:c r="C20" s="44"/>
      <x:c r="D20" s="44"/>
    </x:row>
    <x:row r="21" ht="28" customHeight="1">
      <x:c r="A21" s="46" t="str">
        <x:v>1. Webアプリで「WBS一括取込」を開き、このファイルを選択</x:v>
      </x:c>
      <x:c r="B21" s="46"/>
      <x:c r="C21" s="46"/>
      <x:c r="D21" s="46"/>
    </x:row>
    <x:row r="22" ht="28" customHeight="1">
      <x:c r="A22" s="46" t="str">
        <x:v>2. sheetは「WBS取込用」、見出し行は4、データ開始行は5を指定</x:v>
      </x:c>
      <x:c r="B22" s="46"/>
      <x:c r="C22" s="46"/>
      <x:c r="D22" s="46"/>
    </x:row>
    <x:row r="23" ht="28" customHeight="1">
      <x:c r="A23" s="46" t="str">
        <x:v>3. 親キー方式なら WBS番号＝識別キー、親WBS番号＝親キーを割り当て</x:v>
      </x:c>
      <x:c r="B23" s="46"/>
      <x:c r="C23" s="46"/>
      <x:c r="D23" s="46"/>
    </x:row>
    <x:row r="24" ht="28" customHeight="1">
      <x:c r="A24" s="46" t="str">
        <x:v>4. 階層レベル方式なら 階層レベル＝階層レベルを割り当て</x:v>
      </x:c>
      <x:c r="B24" s="46"/>
      <x:c r="C24" s="46"/>
      <x:c r="D24" s="46"/>
    </x:row>
    <x:row r="25" ht="28" customHeight="1">
      <x:c r="A25" s="46" t="str">
        <x:v>5. プレビュー、事前確認を行い、必要な行だけAsanaへ登録</x:v>
      </x:c>
      <x:c r="B25" s="46"/>
      <x:c r="C25" s="46"/>
      <x:c r="D25" s="46"/>
    </x:row>
  </x:sheetData>
  <x:mergeCells>
    <x:mergeCell ref="A1:D1"/>
    <x:mergeCell ref="A20:D20"/>
    <x:mergeCell ref="A21:D21"/>
    <x:mergeCell ref="A22:D22"/>
    <x:mergeCell ref="A23:D23"/>
    <x:mergeCell ref="A24:D24"/>
    <x:mergeCell ref="A25:D25"/>
  </x:mergeCells>
  <x:conditionalFormatting sqref="D4:D8">
    <x:cfRule type="containsText" dxfId="3" priority="1" operator="containsText" text="OK"/>
  </x:conditionalFormatting>
  <x:pageMargins left="0.7" right="0.7" top="0.75" bottom="0.75" header="0.3" footer="0.3"/>
</x:worksheet>
</file>